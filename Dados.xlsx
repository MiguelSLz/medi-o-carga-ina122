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guel.luz\Downloads\"/>
    </mc:Choice>
  </mc:AlternateContent>
  <bookViews>
    <workbookView xWindow="0" yWindow="0" windowWidth="28800" windowHeight="12210"/>
  </bookViews>
  <sheets>
    <sheet name="Página1" sheetId="1" r:id="rId1"/>
  </sheets>
  <calcPr calcId="162913" iterateDelta="1E-4"/>
</workbook>
</file>

<file path=xl/calcChain.xml><?xml version="1.0" encoding="utf-8"?>
<calcChain xmlns="http://schemas.openxmlformats.org/spreadsheetml/2006/main">
  <c r="Q41" i="1" l="1"/>
  <c r="Q42" i="1"/>
  <c r="Q43" i="1"/>
  <c r="Q44" i="1"/>
  <c r="Q45" i="1"/>
  <c r="Q46" i="1"/>
  <c r="Q47" i="1"/>
  <c r="Q48" i="1"/>
  <c r="Q40" i="1"/>
  <c r="P41" i="1"/>
  <c r="P42" i="1"/>
  <c r="P43" i="1"/>
  <c r="P44" i="1"/>
  <c r="P45" i="1"/>
  <c r="P46" i="1"/>
  <c r="P47" i="1"/>
  <c r="P48" i="1"/>
  <c r="P49" i="1"/>
  <c r="Q49" i="1" s="1"/>
  <c r="P50" i="1"/>
  <c r="Q50" i="1" s="1"/>
  <c r="P40" i="1"/>
  <c r="P34" i="1" l="1"/>
  <c r="B39" i="1" l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0" i="1"/>
  <c r="B19" i="1"/>
  <c r="G8" i="1"/>
  <c r="H8" i="1" s="1"/>
  <c r="I8" i="1" s="1"/>
  <c r="G7" i="1"/>
  <c r="H7" i="1" s="1"/>
  <c r="I7" i="1" s="1"/>
  <c r="G6" i="1"/>
  <c r="H6" i="1" s="1"/>
  <c r="I6" i="1" s="1"/>
  <c r="G5" i="1"/>
  <c r="H5" i="1" s="1"/>
  <c r="I5" i="1" s="1"/>
  <c r="G4" i="1"/>
  <c r="H4" i="1" s="1"/>
  <c r="I4" i="1" s="1"/>
  <c r="G3" i="1"/>
  <c r="H3" i="1" s="1"/>
  <c r="I3" i="1" s="1"/>
  <c r="G2" i="1"/>
  <c r="H2" i="1" s="1"/>
  <c r="I2" i="1" s="1"/>
  <c r="B21" i="1" l="1"/>
  <c r="B22" i="1"/>
  <c r="C19" i="1"/>
  <c r="D19" i="1" s="1"/>
</calcChain>
</file>

<file path=xl/sharedStrings.xml><?xml version="1.0" encoding="utf-8"?>
<sst xmlns="http://schemas.openxmlformats.org/spreadsheetml/2006/main" count="66" uniqueCount="59">
  <si>
    <t>Medida</t>
  </si>
  <si>
    <t>Valor</t>
  </si>
  <si>
    <t>Unidade</t>
  </si>
  <si>
    <t>Link</t>
  </si>
  <si>
    <t>Teórico:</t>
  </si>
  <si>
    <t>Corrente [A]</t>
  </si>
  <si>
    <t>Vin A.I [mV]</t>
  </si>
  <si>
    <t>Vin ADC [mV]</t>
  </si>
  <si>
    <t>Raw value ADC</t>
  </si>
  <si>
    <t>Consumo máximo Jetson</t>
  </si>
  <si>
    <t>A</t>
  </si>
  <si>
    <t>Jetson-Orin-NX-Series-Module-Datasheet</t>
  </si>
  <si>
    <t>Faixa de operação máxima ADC ESP</t>
  </si>
  <si>
    <t>150~3100</t>
  </si>
  <si>
    <t>mV</t>
  </si>
  <si>
    <t>ADC — Arduino-ESP32 2.0.14 documentation</t>
  </si>
  <si>
    <t>Faixa de operação linear ADC ESP</t>
  </si>
  <si>
    <t>150~2450</t>
  </si>
  <si>
    <t>ESP32 - Analisando e corrigindo o ADC interno - Embarcados</t>
  </si>
  <si>
    <t>Ganho Teórico</t>
  </si>
  <si>
    <t>V/V</t>
  </si>
  <si>
    <t>Mínimo INA122</t>
  </si>
  <si>
    <t>Resistência Shunt</t>
  </si>
  <si>
    <t>Ω</t>
  </si>
  <si>
    <t>Resistor de ganho</t>
  </si>
  <si>
    <t>Aberto (NC)</t>
  </si>
  <si>
    <t>Ganho medido</t>
  </si>
  <si>
    <t>Amostras</t>
  </si>
  <si>
    <t>Elemento</t>
  </si>
  <si>
    <t>Potência [W]</t>
  </si>
  <si>
    <t>Resistência [Ω]</t>
  </si>
  <si>
    <t>Corrente máxima [A]</t>
  </si>
  <si>
    <t>Shunt</t>
  </si>
  <si>
    <t>0.1</t>
  </si>
  <si>
    <t>ZDRS</t>
  </si>
  <si>
    <t>0~0,768</t>
  </si>
  <si>
    <t>2 Rpot em paralelo</t>
  </si>
  <si>
    <t>Regressão linear:</t>
  </si>
  <si>
    <t>Dados</t>
  </si>
  <si>
    <t>Somatório</t>
  </si>
  <si>
    <t>Inclinação "a"</t>
  </si>
  <si>
    <t>Inclinação "b"</t>
  </si>
  <si>
    <t>Prático:</t>
  </si>
  <si>
    <t>Corrente Amperimetro[A]</t>
  </si>
  <si>
    <t>Corrente ESP [mA]</t>
  </si>
  <si>
    <t>Corrente Amp [Y]</t>
  </si>
  <si>
    <t>ADC_Read [X]</t>
  </si>
  <si>
    <t>Corrente Amp * ADC_Read [X*Y]</t>
  </si>
  <si>
    <t>ADC_Read^2 [X^2]</t>
  </si>
  <si>
    <t>Corrente Amp [Y]*ADC_Read [X]</t>
  </si>
  <si>
    <t>ADC_Read [X]^2</t>
  </si>
  <si>
    <t>x</t>
  </si>
  <si>
    <t>y</t>
  </si>
  <si>
    <t>Corrente Aplicada[A]</t>
  </si>
  <si>
    <t>Corrente Medida [A]</t>
  </si>
  <si>
    <t>I Medida (A)</t>
  </si>
  <si>
    <t>I Aplicada (A)</t>
  </si>
  <si>
    <t>erro (A)</t>
  </si>
  <si>
    <t>erro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</si>
</sst>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"/>
    <numFmt numFmtId="165" formatCode="0.00000"/>
    <numFmt numFmtId="166" formatCode="0.0000"/>
    <numFmt numFmtId="167" formatCode="0.000"/>
    <numFmt numFmtId="168" formatCode="0.0"/>
  </numFmts>
  <fonts count="15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u/>
      <sz val="11"/>
      <color rgb="FF0000FF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0" fillId="9" borderId="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9" borderId="0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8" fontId="0" fillId="0" borderId="0" xfId="0" applyNumberFormat="1"/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ADC</a:t>
            </a:r>
            <a:r>
              <a:rPr lang="pt-BR" baseline="0"/>
              <a:t> X Corrente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#,##0.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Página1!$K$19:$K$49</c:f>
              <c:numCache>
                <c:formatCode>General</c:formatCode>
                <c:ptCount val="31"/>
                <c:pt idx="0" formatCode="0">
                  <c:v>0</c:v>
                </c:pt>
                <c:pt idx="1">
                  <c:v>1</c:v>
                </c:pt>
                <c:pt idx="2">
                  <c:v>9</c:v>
                </c:pt>
                <c:pt idx="3">
                  <c:v>67</c:v>
                </c:pt>
                <c:pt idx="4">
                  <c:v>128</c:v>
                </c:pt>
                <c:pt idx="5">
                  <c:v>431</c:v>
                </c:pt>
                <c:pt idx="6">
                  <c:v>740</c:v>
                </c:pt>
                <c:pt idx="7" formatCode="0">
                  <c:v>1053</c:v>
                </c:pt>
                <c:pt idx="8">
                  <c:v>1363</c:v>
                </c:pt>
                <c:pt idx="9" formatCode="0">
                  <c:v>1678</c:v>
                </c:pt>
                <c:pt idx="10">
                  <c:v>1989</c:v>
                </c:pt>
                <c:pt idx="11">
                  <c:v>2305</c:v>
                </c:pt>
                <c:pt idx="12">
                  <c:v>2622</c:v>
                </c:pt>
                <c:pt idx="13">
                  <c:v>2945</c:v>
                </c:pt>
              </c:numCache>
            </c:numRef>
          </c:xVal>
          <c:yVal>
            <c:numRef>
              <c:f>Página1!$L$19:$L$49</c:f>
              <c:numCache>
                <c:formatCode>General</c:formatCode>
                <c:ptCount val="31"/>
                <c:pt idx="0">
                  <c:v>0</c:v>
                </c:pt>
                <c:pt idx="1">
                  <c:v>0.27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0.999</c:v>
                </c:pt>
                <c:pt idx="6">
                  <c:v>1.4990000000000001</c:v>
                </c:pt>
                <c:pt idx="7">
                  <c:v>1.9970000000000001</c:v>
                </c:pt>
                <c:pt idx="8">
                  <c:v>2.4980000000000002</c:v>
                </c:pt>
                <c:pt idx="9">
                  <c:v>2.9990000000000001</c:v>
                </c:pt>
                <c:pt idx="10">
                  <c:v>3.4990000000000001</c:v>
                </c:pt>
                <c:pt idx="11">
                  <c:v>4.0010000000000003</c:v>
                </c:pt>
                <c:pt idx="12">
                  <c:v>4.4989999999999997</c:v>
                </c:pt>
                <c:pt idx="13">
                  <c:v>4.9969999999999999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66-4FEF-9536-1D2094D8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979008"/>
        <c:axId val="1871973184"/>
      </c:scatterChart>
      <c:valAx>
        <c:axId val="187197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973184"/>
        <c:crosses val="autoZero"/>
        <c:crossBetween val="midCat"/>
      </c:valAx>
      <c:valAx>
        <c:axId val="18719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97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 nominal X I medido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 nominal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yVal>
            <c:numRef>
              <c:f>Página1!$N$40:$N$50</c:f>
              <c:numCache>
                <c:formatCode>0.000</c:formatCode>
                <c:ptCount val="11"/>
                <c:pt idx="0">
                  <c:v>0.26800000000000002</c:v>
                </c:pt>
                <c:pt idx="1">
                  <c:v>0.499</c:v>
                </c:pt>
                <c:pt idx="2">
                  <c:v>1.0029999999999999</c:v>
                </c:pt>
                <c:pt idx="3">
                  <c:v>1.502</c:v>
                </c:pt>
                <c:pt idx="4">
                  <c:v>1.998</c:v>
                </c:pt>
                <c:pt idx="5">
                  <c:v>2.5</c:v>
                </c:pt>
                <c:pt idx="6">
                  <c:v>2.9990000000000001</c:v>
                </c:pt>
                <c:pt idx="7">
                  <c:v>3.4990000000000001</c:v>
                </c:pt>
                <c:pt idx="8">
                  <c:v>4.0039999999999996</c:v>
                </c:pt>
                <c:pt idx="9">
                  <c:v>4.4989999999999997</c:v>
                </c:pt>
                <c:pt idx="10">
                  <c:v>4.9969999999999999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3-4151-B5C3-BFD3DFBF12EF}"/>
            </c:ext>
          </c:extLst>
        </c:ser>
        <c:ser>
          <c:idx val="1"/>
          <c:order val="1"/>
          <c:tx>
            <c:v>I medido</c:v>
          </c:tx>
          <c:spPr>
            <a:ln w="1905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yVal>
            <c:numRef>
              <c:f>Página1!$O$40:$O$50</c:f>
              <c:numCache>
                <c:formatCode>0.000</c:formatCode>
                <c:ptCount val="11"/>
                <c:pt idx="0">
                  <c:v>0.252</c:v>
                </c:pt>
                <c:pt idx="1">
                  <c:v>0.45700000000000002</c:v>
                </c:pt>
                <c:pt idx="2">
                  <c:v>0.95499999999999996</c:v>
                </c:pt>
                <c:pt idx="3">
                  <c:v>1.456</c:v>
                </c:pt>
                <c:pt idx="4">
                  <c:v>1.9650000000000001</c:v>
                </c:pt>
                <c:pt idx="5">
                  <c:v>2.4700000000000002</c:v>
                </c:pt>
                <c:pt idx="6">
                  <c:v>2.9830000000000001</c:v>
                </c:pt>
                <c:pt idx="7">
                  <c:v>3.4870000000000001</c:v>
                </c:pt>
                <c:pt idx="8">
                  <c:v>4.0030000000000001</c:v>
                </c:pt>
                <c:pt idx="9">
                  <c:v>4.5110000000000001</c:v>
                </c:pt>
                <c:pt idx="10">
                  <c:v>5.0430000000000001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3-4151-B5C3-BFD3DFBF1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740816"/>
        <c:axId val="794729584"/>
      </c:scatterChart>
      <c:valAx>
        <c:axId val="79474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4729584"/>
        <c:crosses val="autoZero"/>
        <c:crossBetween val="midCat"/>
      </c:valAx>
      <c:valAx>
        <c:axId val="7947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474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Erro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0255905511811"/>
          <c:y val="0.19721055701370663"/>
          <c:w val="0.86364107611548557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yVal>
            <c:numRef>
              <c:f>Página1!$Q$40:$Q$50</c:f>
              <c:numCache>
                <c:formatCode>0.0</c:formatCode>
                <c:ptCount val="11"/>
                <c:pt idx="0">
                  <c:v>-5.9701492537313481</c:v>
                </c:pt>
                <c:pt idx="1">
                  <c:v>-8.4168336673346644</c:v>
                </c:pt>
                <c:pt idx="2">
                  <c:v>-4.7856430707876303</c:v>
                </c:pt>
                <c:pt idx="3">
                  <c:v>-3.0625832223701757</c:v>
                </c:pt>
                <c:pt idx="4">
                  <c:v>-1.6516516516516477</c:v>
                </c:pt>
                <c:pt idx="5">
                  <c:v>-1.1999999999999922</c:v>
                </c:pt>
                <c:pt idx="6">
                  <c:v>-0.53351117039013052</c:v>
                </c:pt>
                <c:pt idx="7">
                  <c:v>-0.34295513003715378</c:v>
                </c:pt>
                <c:pt idx="8">
                  <c:v>-2.4975024975011136E-2</c:v>
                </c:pt>
                <c:pt idx="9">
                  <c:v>0.26672593909758735</c:v>
                </c:pt>
                <c:pt idx="10">
                  <c:v>0.92055233139884463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6-45B6-9ABB-DF29E560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61680"/>
        <c:axId val="789664176"/>
      </c:scatterChart>
      <c:valAx>
        <c:axId val="78966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64176"/>
        <c:crosses val="autoZero"/>
        <c:crossBetween val="midCat"/>
      </c:valAx>
      <c:valAx>
        <c:axId val="78966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6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512787</xdr:colOff>
      <xdr:row>2</xdr:row>
      <xdr:rowOff>65566</xdr:rowOff>
    </xdr:from>
    <xdr:to>
      <xdr:col>22</xdr:col>
      <xdr:colOff>527200</xdr:colOff>
      <xdr:row>30</xdr:row>
      <xdr:rowOff>27918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1590675</xdr:colOff>
      <xdr:row>50</xdr:row>
      <xdr:rowOff>171451</xdr:rowOff>
    </xdr:from>
    <xdr:to>
      <xdr:col>17</xdr:col>
      <xdr:colOff>600075</xdr:colOff>
      <xdr:row>71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33336</xdr:colOff>
      <xdr:row>50</xdr:row>
      <xdr:rowOff>152399</xdr:rowOff>
    </xdr:from>
    <xdr:to>
      <xdr:col>25</xdr:col>
      <xdr:colOff>200024</xdr:colOff>
      <xdr:row>71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barcados.com.br/esp32-adc-interno/" TargetMode="External"/><Relationship Id="rId2" Type="http://schemas.openxmlformats.org/officeDocument/2006/relationships/hyperlink" Target="https://espressif-docs.readthedocs-hosted.com/projects/arduino-esp32/en/latest/api/adc.html" TargetMode="External"/><Relationship Id="rId1" Type="http://schemas.openxmlformats.org/officeDocument/2006/relationships/hyperlink" Target="https://developer.download.nvidia.com/assets/embedded/secure/jetson/orin_nx/docs/Jetson-Orin-NX-Series-Modules-Datasheet_DS-10712-001_v1.6.pdf?__token__=exp=1768325327~hmac=7cf4c10b3383e9a816309101f612c2f90393428b736a54d2c0603d87bc4246ec&amp;t=eyJscyI6IndlYnNpdGUiLCJsc2QiOiJkZXZlbG9wZXIubnZpZGlhLmNvbS9lbWJlZGRlZC9sZWFybi9qZXRzb24tb3Jpbi1uYW5vLWRldmtpdC11c2VyLWd1aWRlL2hhcmR3YXJlX3NwZWMuaHRtbCJ9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topLeftCell="J1" zoomScaleNormal="100" workbookViewId="0">
      <selection activeCell="N43" sqref="N43"/>
    </sheetView>
  </sheetViews>
  <sheetFormatPr defaultRowHeight="15.75" customHeight="1" x14ac:dyDescent="0.2"/>
  <cols>
    <col min="1" max="1" width="26.75" customWidth="1"/>
    <col min="2" max="2" width="13.125" customWidth="1"/>
    <col min="3" max="3" width="13.75" customWidth="1"/>
    <col min="4" max="4" width="42.75" customWidth="1"/>
    <col min="5" max="5" width="6.5" customWidth="1"/>
    <col min="6" max="6" width="24.125" customWidth="1"/>
    <col min="7" max="8" width="11.625" customWidth="1"/>
    <col min="9" max="9" width="14.125" customWidth="1"/>
    <col min="10" max="10" width="14.875" customWidth="1"/>
    <col min="11" max="11" width="18.625" customWidth="1"/>
    <col min="12" max="12" width="21" customWidth="1"/>
    <col min="13" max="13" width="18.75" customWidth="1"/>
    <col min="14" max="14" width="18" customWidth="1"/>
    <col min="15" max="15" width="16" customWidth="1"/>
    <col min="16" max="1024" width="11.625" customWidth="1"/>
  </cols>
  <sheetData>
    <row r="1" spans="1:1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1:11" ht="14.25" x14ac:dyDescent="0.2">
      <c r="A2" s="3" t="s">
        <v>9</v>
      </c>
      <c r="B2" s="3">
        <v>5</v>
      </c>
      <c r="C2" s="3" t="s">
        <v>10</v>
      </c>
      <c r="D2" s="4" t="s">
        <v>11</v>
      </c>
      <c r="E2" s="2"/>
      <c r="F2" s="3">
        <v>1.24</v>
      </c>
      <c r="G2" s="3">
        <f>F2*B6*1000</f>
        <v>124</v>
      </c>
      <c r="H2" s="3">
        <f>G2*B8</f>
        <v>530.72</v>
      </c>
      <c r="I2" s="5">
        <f>H2*1/(3.9/4096)/1000</f>
        <v>557.39208205128205</v>
      </c>
      <c r="J2" s="2"/>
      <c r="K2" s="2"/>
    </row>
    <row r="3" spans="1:11" ht="14.25" x14ac:dyDescent="0.2">
      <c r="A3" s="3" t="s">
        <v>12</v>
      </c>
      <c r="B3" s="3" t="s">
        <v>13</v>
      </c>
      <c r="C3" s="3" t="s">
        <v>14</v>
      </c>
      <c r="D3" s="4" t="s">
        <v>15</v>
      </c>
      <c r="E3" s="2"/>
      <c r="F3" s="3">
        <v>0.88800000000000001</v>
      </c>
      <c r="G3" s="3">
        <f>F3*B6*1000</f>
        <v>88.8</v>
      </c>
      <c r="H3" s="3">
        <f>G3*B8</f>
        <v>380.06400000000002</v>
      </c>
      <c r="I3" s="5">
        <f>H3*1/(3.9/4096)/1000</f>
        <v>399.16465230769234</v>
      </c>
      <c r="J3" s="2"/>
      <c r="K3" s="2"/>
    </row>
    <row r="4" spans="1:11" ht="14.25" x14ac:dyDescent="0.2">
      <c r="A4" s="3" t="s">
        <v>16</v>
      </c>
      <c r="B4" s="3" t="s">
        <v>17</v>
      </c>
      <c r="C4" s="3" t="s">
        <v>14</v>
      </c>
      <c r="D4" s="4" t="s">
        <v>18</v>
      </c>
      <c r="E4" s="2"/>
      <c r="F4" s="3">
        <v>0.76300000000000001</v>
      </c>
      <c r="G4" s="3">
        <f>F4*B6*1000</f>
        <v>76.300000000000011</v>
      </c>
      <c r="H4" s="3">
        <f>G4*B8</f>
        <v>326.56400000000008</v>
      </c>
      <c r="I4" s="5">
        <f>H4*1/(3.9/4096)/1000</f>
        <v>342.97593435897443</v>
      </c>
      <c r="J4" s="2"/>
      <c r="K4" s="2"/>
    </row>
    <row r="5" spans="1:11" ht="14.25" x14ac:dyDescent="0.2">
      <c r="A5" s="3" t="s">
        <v>19</v>
      </c>
      <c r="B5" s="3">
        <v>5</v>
      </c>
      <c r="C5" s="3" t="s">
        <v>20</v>
      </c>
      <c r="D5" s="3" t="s">
        <v>21</v>
      </c>
      <c r="E5" s="2"/>
      <c r="F5" s="3">
        <v>0.64800000000000002</v>
      </c>
      <c r="G5" s="3">
        <f>F5*B6*1000</f>
        <v>64.800000000000011</v>
      </c>
      <c r="H5" s="3">
        <f>G5*B8</f>
        <v>277.34400000000005</v>
      </c>
      <c r="I5" s="5">
        <f>H5*1/(3.9/4096)/1000</f>
        <v>291.2823138461539</v>
      </c>
      <c r="J5" s="2"/>
      <c r="K5" s="2"/>
    </row>
    <row r="6" spans="1:11" ht="14.25" x14ac:dyDescent="0.2">
      <c r="A6" s="3" t="s">
        <v>22</v>
      </c>
      <c r="B6" s="3">
        <v>0.1</v>
      </c>
      <c r="C6" s="3" t="s">
        <v>23</v>
      </c>
      <c r="D6" s="3"/>
      <c r="E6" s="2"/>
      <c r="F6" s="3">
        <v>0.57799999999999996</v>
      </c>
      <c r="G6" s="3">
        <f>F6*B6*1000</f>
        <v>57.8</v>
      </c>
      <c r="H6" s="5">
        <f>G6*B8</f>
        <v>247.38400000000001</v>
      </c>
      <c r="I6" s="5">
        <f>1/(3.9/4096)*H6/1000</f>
        <v>259.81663179487185</v>
      </c>
      <c r="J6" s="2"/>
      <c r="K6" s="2"/>
    </row>
    <row r="7" spans="1:11" ht="14.25" x14ac:dyDescent="0.2">
      <c r="A7" s="3" t="s">
        <v>24</v>
      </c>
      <c r="B7" s="3" t="s">
        <v>25</v>
      </c>
      <c r="C7" s="3" t="s">
        <v>23</v>
      </c>
      <c r="D7" s="3"/>
      <c r="E7" s="2"/>
      <c r="F7" s="3">
        <v>0.48799999999999999</v>
      </c>
      <c r="G7" s="3">
        <f>F7*B6*1000</f>
        <v>48.800000000000004</v>
      </c>
      <c r="H7" s="5">
        <f>G7*B8</f>
        <v>208.86400000000003</v>
      </c>
      <c r="I7" s="5">
        <f>1/(3.9/4096)*H7/1000</f>
        <v>219.36075487179494</v>
      </c>
      <c r="J7" s="2"/>
      <c r="K7" s="2"/>
    </row>
    <row r="8" spans="1:11" ht="14.25" x14ac:dyDescent="0.2">
      <c r="A8" s="3" t="s">
        <v>26</v>
      </c>
      <c r="B8" s="3">
        <v>4.28</v>
      </c>
      <c r="C8" s="3" t="s">
        <v>20</v>
      </c>
      <c r="D8" s="3"/>
      <c r="E8" s="2"/>
      <c r="F8" s="3">
        <v>0.40600000000000003</v>
      </c>
      <c r="G8" s="3">
        <f>F8*B6*1000</f>
        <v>40.6</v>
      </c>
      <c r="H8" s="5">
        <f>G8*B8</f>
        <v>173.76800000000003</v>
      </c>
      <c r="I8" s="5">
        <f>1/(3.9/4096)*H8/1000</f>
        <v>182.50095589743594</v>
      </c>
      <c r="J8" s="2"/>
      <c r="K8" s="2"/>
    </row>
    <row r="9" spans="1:11" ht="14.25" x14ac:dyDescent="0.2">
      <c r="A9" s="3" t="s">
        <v>27</v>
      </c>
      <c r="B9" s="3">
        <v>14</v>
      </c>
      <c r="C9" s="2"/>
      <c r="D9" s="2"/>
      <c r="E9" s="2"/>
      <c r="F9" s="3"/>
      <c r="G9" s="3"/>
      <c r="H9" s="5"/>
      <c r="I9" s="5"/>
      <c r="J9" s="2"/>
      <c r="K9" s="2"/>
    </row>
    <row r="10" spans="1:11" ht="14.25" x14ac:dyDescent="0.2">
      <c r="A10" s="1" t="s">
        <v>28</v>
      </c>
      <c r="B10" s="1" t="s">
        <v>29</v>
      </c>
      <c r="C10" s="1" t="s">
        <v>30</v>
      </c>
      <c r="D10" s="1" t="s">
        <v>31</v>
      </c>
      <c r="F10" s="3"/>
      <c r="G10" s="3"/>
      <c r="H10" s="5"/>
      <c r="I10" s="5"/>
      <c r="J10" s="2"/>
      <c r="K10" s="2"/>
    </row>
    <row r="11" spans="1:11" ht="14.25" x14ac:dyDescent="0.2">
      <c r="A11" s="3" t="s">
        <v>32</v>
      </c>
      <c r="B11" s="3">
        <v>30</v>
      </c>
      <c r="C11" s="3" t="s">
        <v>33</v>
      </c>
      <c r="D11" s="3">
        <v>17.32</v>
      </c>
      <c r="F11" s="3"/>
      <c r="G11" s="3"/>
      <c r="H11" s="5"/>
      <c r="I11" s="5"/>
      <c r="J11" s="2"/>
      <c r="K11" s="2"/>
    </row>
    <row r="12" spans="1:11" ht="14.25" x14ac:dyDescent="0.2">
      <c r="A12" s="3" t="s">
        <v>34</v>
      </c>
      <c r="B12" s="3">
        <v>20</v>
      </c>
      <c r="C12" s="3" t="s">
        <v>35</v>
      </c>
      <c r="D12" s="3">
        <v>5.0999999999999996</v>
      </c>
      <c r="F12" s="3"/>
      <c r="G12" s="3"/>
      <c r="H12" s="5"/>
      <c r="I12" s="5"/>
      <c r="J12" s="2"/>
      <c r="K12" s="2"/>
    </row>
    <row r="13" spans="1:11" ht="14.25" x14ac:dyDescent="0.2">
      <c r="A13" s="3" t="s">
        <v>34</v>
      </c>
      <c r="B13" s="3">
        <v>20</v>
      </c>
      <c r="C13" s="3">
        <v>30</v>
      </c>
      <c r="D13" s="3">
        <v>0.81599999999999995</v>
      </c>
      <c r="F13" s="3"/>
      <c r="G13" s="3"/>
      <c r="H13" s="5"/>
      <c r="I13" s="5"/>
      <c r="J13" s="2"/>
      <c r="K13" s="2"/>
    </row>
    <row r="14" spans="1:11" ht="14.25" x14ac:dyDescent="0.2">
      <c r="A14" s="3" t="s">
        <v>36</v>
      </c>
      <c r="B14" s="3">
        <v>39.799999999999997</v>
      </c>
      <c r="C14" s="3">
        <v>11</v>
      </c>
      <c r="D14" s="3">
        <v>1.9</v>
      </c>
      <c r="F14" s="3"/>
      <c r="G14" s="3"/>
      <c r="H14" s="5"/>
      <c r="I14" s="5"/>
      <c r="J14" s="2"/>
      <c r="K14" s="2"/>
    </row>
    <row r="15" spans="1:11" ht="14.25" x14ac:dyDescent="0.2">
      <c r="A15" s="2"/>
      <c r="B15" s="2"/>
      <c r="C15" s="2"/>
      <c r="D15" s="2"/>
      <c r="F15" s="3"/>
      <c r="G15" s="3"/>
      <c r="H15" s="5"/>
      <c r="I15" s="5"/>
      <c r="K15" s="2"/>
    </row>
    <row r="16" spans="1:11" ht="14.25" x14ac:dyDescent="0.2">
      <c r="A16" s="2"/>
      <c r="B16" s="2"/>
      <c r="C16" s="2"/>
      <c r="D16" s="2"/>
      <c r="K16" s="2"/>
    </row>
    <row r="17" spans="1:13" ht="14.25" x14ac:dyDescent="0.2">
      <c r="A17" s="6" t="s">
        <v>37</v>
      </c>
      <c r="C17" s="2"/>
      <c r="D17" s="2"/>
      <c r="K17" s="1" t="s">
        <v>8</v>
      </c>
      <c r="L17" s="1" t="s">
        <v>53</v>
      </c>
      <c r="M17" s="1" t="s">
        <v>54</v>
      </c>
    </row>
    <row r="18" spans="1:13" ht="14.25" x14ac:dyDescent="0.2">
      <c r="A18" s="1" t="s">
        <v>38</v>
      </c>
      <c r="B18" s="1" t="s">
        <v>39</v>
      </c>
      <c r="C18" s="1" t="s">
        <v>40</v>
      </c>
      <c r="D18" s="1" t="s">
        <v>41</v>
      </c>
      <c r="E18" s="2" t="s">
        <v>42</v>
      </c>
      <c r="F18" s="1" t="s">
        <v>43</v>
      </c>
      <c r="G18" s="1" t="s">
        <v>8</v>
      </c>
      <c r="H18" s="1" t="s">
        <v>7</v>
      </c>
      <c r="I18" s="1" t="s">
        <v>44</v>
      </c>
      <c r="K18" s="2" t="s">
        <v>51</v>
      </c>
      <c r="L18" s="10" t="s">
        <v>52</v>
      </c>
    </row>
    <row r="19" spans="1:13" ht="14.25" x14ac:dyDescent="0.2">
      <c r="A19" s="1" t="s">
        <v>45</v>
      </c>
      <c r="B19" s="3">
        <f>SUM(F19:F1000)</f>
        <v>13.080999999999996</v>
      </c>
      <c r="C19" s="7">
        <f>(B9*B21-(B19*B20))/(B9*B22-(B20*B20))</f>
        <v>2.6902856262197793E-3</v>
      </c>
      <c r="D19" s="8">
        <f>(B19-C19*B20)/(B9)</f>
        <v>-2.3576703336114564E-2</v>
      </c>
      <c r="E19" s="2"/>
      <c r="F19" s="3">
        <v>0.50900000000000001</v>
      </c>
      <c r="G19" s="5">
        <v>166</v>
      </c>
      <c r="H19" s="3"/>
      <c r="I19" s="3"/>
      <c r="K19" s="5">
        <v>0</v>
      </c>
      <c r="L19" s="3">
        <v>0</v>
      </c>
    </row>
    <row r="20" spans="1:13" ht="14.25" x14ac:dyDescent="0.2">
      <c r="A20" s="1" t="s">
        <v>46</v>
      </c>
      <c r="B20" s="5">
        <f>SUM(G19:G1000)</f>
        <v>4985</v>
      </c>
      <c r="C20" s="2"/>
      <c r="E20" s="2"/>
      <c r="F20" s="3">
        <v>0.96299999999999997</v>
      </c>
      <c r="G20" s="3">
        <v>452</v>
      </c>
      <c r="H20" s="3"/>
      <c r="I20" s="3"/>
      <c r="K20" s="3">
        <v>1</v>
      </c>
      <c r="L20" s="3">
        <v>0.27</v>
      </c>
    </row>
    <row r="21" spans="1:13" ht="14.25" x14ac:dyDescent="0.2">
      <c r="A21" s="1" t="s">
        <v>47</v>
      </c>
      <c r="B21" s="3">
        <f>SUM(A26:A1000)</f>
        <v>1318.6280000000002</v>
      </c>
      <c r="C21" s="2"/>
      <c r="E21" s="2"/>
      <c r="F21" s="3">
        <v>0.45600000000000002</v>
      </c>
      <c r="G21" s="3">
        <v>132</v>
      </c>
      <c r="H21" s="3"/>
      <c r="I21" s="3"/>
      <c r="K21" s="3">
        <v>9</v>
      </c>
      <c r="L21" s="3">
        <v>0.3</v>
      </c>
    </row>
    <row r="22" spans="1:13" ht="14.25" x14ac:dyDescent="0.2">
      <c r="A22" s="1" t="s">
        <v>48</v>
      </c>
      <c r="B22" s="3">
        <f>SUM(B26:B1000)</f>
        <v>533831</v>
      </c>
      <c r="C22" s="2"/>
      <c r="E22" s="2"/>
      <c r="F22" s="3">
        <v>0.78900000000000003</v>
      </c>
      <c r="G22" s="3">
        <v>342</v>
      </c>
      <c r="H22" s="3"/>
      <c r="I22" s="3"/>
      <c r="K22" s="3">
        <v>67</v>
      </c>
      <c r="L22" s="3">
        <v>0.4</v>
      </c>
    </row>
    <row r="23" spans="1:13" ht="14.25" x14ac:dyDescent="0.2">
      <c r="C23" s="2"/>
      <c r="E23" s="2"/>
      <c r="F23" s="3">
        <v>0.42</v>
      </c>
      <c r="G23" s="3">
        <v>110</v>
      </c>
      <c r="H23" s="3"/>
      <c r="I23" s="3"/>
      <c r="K23" s="3">
        <v>128</v>
      </c>
      <c r="L23" s="3">
        <v>0.5</v>
      </c>
    </row>
    <row r="24" spans="1:13" ht="14.25" x14ac:dyDescent="0.2">
      <c r="C24" s="2"/>
      <c r="E24" s="2"/>
      <c r="F24" s="3">
        <v>0.68700000000000006</v>
      </c>
      <c r="G24" s="5">
        <v>277</v>
      </c>
      <c r="H24" s="3"/>
      <c r="I24" s="3"/>
      <c r="K24" s="3">
        <v>431</v>
      </c>
      <c r="L24" s="3">
        <v>0.999</v>
      </c>
    </row>
    <row r="25" spans="1:13" ht="14.25" x14ac:dyDescent="0.2">
      <c r="A25" s="1" t="s">
        <v>49</v>
      </c>
      <c r="B25" s="1" t="s">
        <v>50</v>
      </c>
      <c r="C25" s="2"/>
      <c r="E25" s="2"/>
      <c r="F25" s="3">
        <v>0.38300000000000001</v>
      </c>
      <c r="G25" s="3">
        <v>85</v>
      </c>
      <c r="H25" s="3"/>
      <c r="I25" s="3"/>
      <c r="K25" s="3">
        <v>740</v>
      </c>
      <c r="L25" s="3">
        <v>1.4990000000000001</v>
      </c>
    </row>
    <row r="26" spans="1:13" ht="14.25" x14ac:dyDescent="0.2">
      <c r="A26" s="3">
        <f>F19*G19</f>
        <v>84.494</v>
      </c>
      <c r="B26" s="3">
        <f>G19*G19</f>
        <v>27556</v>
      </c>
      <c r="C26" s="2"/>
      <c r="F26" s="3">
        <v>0.59299999999999997</v>
      </c>
      <c r="G26" s="5">
        <v>218</v>
      </c>
      <c r="H26" s="3"/>
      <c r="I26" s="3"/>
      <c r="K26" s="5">
        <v>1053</v>
      </c>
      <c r="L26" s="3">
        <v>1.9970000000000001</v>
      </c>
    </row>
    <row r="27" spans="1:13" ht="14.25" x14ac:dyDescent="0.2">
      <c r="A27" s="3">
        <f>F20*G20</f>
        <v>435.27600000000001</v>
      </c>
      <c r="B27" s="3">
        <f>G20*G20</f>
        <v>204304</v>
      </c>
      <c r="F27" s="3">
        <v>0.36399999999999999</v>
      </c>
      <c r="G27" s="3">
        <v>73</v>
      </c>
      <c r="H27" s="3"/>
      <c r="I27" s="3"/>
      <c r="K27" s="3">
        <v>1363</v>
      </c>
      <c r="L27" s="3">
        <v>2.4980000000000002</v>
      </c>
    </row>
    <row r="28" spans="1:13" ht="14.25" x14ac:dyDescent="0.2">
      <c r="A28" s="3">
        <f t="shared" ref="A28:A34" si="0">F22*G22</f>
        <v>269.83800000000002</v>
      </c>
      <c r="B28" s="3">
        <f t="shared" ref="B28:B34" si="1">G22*G22</f>
        <v>116964</v>
      </c>
      <c r="F28" s="3">
        <v>0.54800000000000004</v>
      </c>
      <c r="G28" s="3">
        <v>190</v>
      </c>
      <c r="H28" s="3"/>
      <c r="I28" s="3"/>
      <c r="K28" s="5">
        <v>1678</v>
      </c>
      <c r="L28" s="3">
        <v>2.9990000000000001</v>
      </c>
    </row>
    <row r="29" spans="1:13" ht="14.25" x14ac:dyDescent="0.2">
      <c r="A29" s="3">
        <f t="shared" si="0"/>
        <v>46.199999999999996</v>
      </c>
      <c r="B29" s="3">
        <f t="shared" si="1"/>
        <v>12100</v>
      </c>
      <c r="F29" s="3">
        <v>0.33600000000000002</v>
      </c>
      <c r="G29" s="3">
        <v>57</v>
      </c>
      <c r="H29" s="3"/>
      <c r="I29" s="3"/>
      <c r="K29" s="3">
        <v>1989</v>
      </c>
      <c r="L29" s="3">
        <v>3.4990000000000001</v>
      </c>
    </row>
    <row r="30" spans="1:13" ht="14.25" x14ac:dyDescent="0.2">
      <c r="A30" s="3">
        <f t="shared" si="0"/>
        <v>190.29900000000001</v>
      </c>
      <c r="B30" s="3">
        <f t="shared" si="1"/>
        <v>76729</v>
      </c>
      <c r="F30" s="3">
        <v>0.48599999999999999</v>
      </c>
      <c r="G30" s="3">
        <v>150</v>
      </c>
      <c r="H30" s="3"/>
      <c r="I30" s="3"/>
      <c r="K30" s="3">
        <v>2305</v>
      </c>
      <c r="L30" s="3">
        <v>4.0010000000000003</v>
      </c>
    </row>
    <row r="31" spans="1:13" ht="14.25" x14ac:dyDescent="0.2">
      <c r="A31" s="3">
        <f t="shared" si="0"/>
        <v>32.555</v>
      </c>
      <c r="B31" s="3">
        <f t="shared" si="1"/>
        <v>7225</v>
      </c>
      <c r="F31" s="3">
        <v>0.316</v>
      </c>
      <c r="G31" s="3">
        <v>45</v>
      </c>
      <c r="H31" s="3"/>
      <c r="I31" s="3"/>
      <c r="K31" s="3">
        <v>2622</v>
      </c>
      <c r="L31" s="3">
        <v>4.4989999999999997</v>
      </c>
    </row>
    <row r="32" spans="1:13" ht="14.25" x14ac:dyDescent="0.2">
      <c r="A32" s="3">
        <f t="shared" si="0"/>
        <v>129.274</v>
      </c>
      <c r="B32" s="3">
        <f t="shared" si="1"/>
        <v>47524</v>
      </c>
      <c r="F32" s="3">
        <v>0.44600000000000001</v>
      </c>
      <c r="G32" s="3">
        <v>125</v>
      </c>
      <c r="H32" s="3"/>
      <c r="I32" s="3"/>
      <c r="J32" s="9"/>
      <c r="K32" s="3">
        <v>2945</v>
      </c>
      <c r="L32" s="3">
        <v>4.9969999999999999</v>
      </c>
    </row>
    <row r="33" spans="1:17" ht="14.25" x14ac:dyDescent="0.2">
      <c r="A33" s="3">
        <f t="shared" si="0"/>
        <v>26.571999999999999</v>
      </c>
      <c r="B33" s="3">
        <f t="shared" si="1"/>
        <v>5329</v>
      </c>
      <c r="F33" s="3">
        <v>0.56299999999999994</v>
      </c>
      <c r="G33" s="3">
        <v>199</v>
      </c>
      <c r="H33" s="3"/>
      <c r="I33" s="3"/>
      <c r="K33" s="3"/>
      <c r="L33" s="3"/>
    </row>
    <row r="34" spans="1:17" ht="14.25" x14ac:dyDescent="0.2">
      <c r="A34" s="3">
        <f t="shared" si="0"/>
        <v>104.12</v>
      </c>
      <c r="B34" s="3">
        <f t="shared" si="1"/>
        <v>36100</v>
      </c>
      <c r="F34" s="3">
        <v>1.1779999999999999</v>
      </c>
      <c r="G34" s="3">
        <v>592</v>
      </c>
      <c r="H34" s="3"/>
      <c r="I34" s="3"/>
      <c r="K34" s="3"/>
      <c r="L34" s="3"/>
      <c r="P34">
        <f>5/2950</f>
        <v>1.6949152542372881E-3</v>
      </c>
    </row>
    <row r="35" spans="1:17" ht="14.25" x14ac:dyDescent="0.2">
      <c r="A35" s="3">
        <f>F29*J29</f>
        <v>0</v>
      </c>
      <c r="B35" s="3">
        <f>J29*J29</f>
        <v>0</v>
      </c>
      <c r="F35" s="3">
        <v>1.0649999999999999</v>
      </c>
      <c r="G35" s="3">
        <v>519</v>
      </c>
      <c r="H35" s="3"/>
      <c r="I35" s="3"/>
      <c r="K35" s="3"/>
      <c r="L35" s="3"/>
    </row>
    <row r="36" spans="1:17" ht="14.25" x14ac:dyDescent="0.2">
      <c r="A36" s="3">
        <f>F30*J30</f>
        <v>0</v>
      </c>
      <c r="B36" s="3">
        <f>J30*J30</f>
        <v>0</v>
      </c>
      <c r="F36" s="3">
        <v>0.53600000000000003</v>
      </c>
      <c r="G36" s="3">
        <v>182</v>
      </c>
      <c r="H36" s="3"/>
      <c r="I36" s="3"/>
      <c r="K36" s="3"/>
      <c r="L36" s="3"/>
    </row>
    <row r="37" spans="1:17" ht="14.25" x14ac:dyDescent="0.2">
      <c r="A37" s="3">
        <f>F31*J31</f>
        <v>0</v>
      </c>
      <c r="B37" s="3">
        <f>J31*J31</f>
        <v>0</v>
      </c>
      <c r="F37" s="3">
        <v>0.51100000000000001</v>
      </c>
      <c r="G37" s="3">
        <v>166</v>
      </c>
      <c r="H37" s="3"/>
      <c r="I37" s="3"/>
      <c r="K37" s="3"/>
      <c r="L37" s="3"/>
    </row>
    <row r="38" spans="1:17" ht="14.25" x14ac:dyDescent="0.2">
      <c r="A38" s="3">
        <f>F32*J32</f>
        <v>0</v>
      </c>
      <c r="B38" s="3">
        <f>J32*J32</f>
        <v>0</v>
      </c>
      <c r="F38" s="3">
        <v>0.96899999999999997</v>
      </c>
      <c r="G38" s="3">
        <v>456</v>
      </c>
      <c r="H38" s="3"/>
      <c r="I38" s="3"/>
      <c r="K38" s="3"/>
      <c r="L38" s="3"/>
    </row>
    <row r="39" spans="1:17" ht="14.25" x14ac:dyDescent="0.2">
      <c r="A39" s="3">
        <f>F33*J33</f>
        <v>0</v>
      </c>
      <c r="B39" s="3">
        <f>J33*J33</f>
        <v>0</v>
      </c>
      <c r="F39" s="3">
        <v>0.96299999999999997</v>
      </c>
      <c r="G39" s="3">
        <v>449</v>
      </c>
      <c r="H39" s="3"/>
      <c r="I39" s="3"/>
      <c r="K39" s="3"/>
      <c r="L39" s="3"/>
      <c r="N39" s="14" t="s">
        <v>56</v>
      </c>
      <c r="O39" s="14" t="s">
        <v>55</v>
      </c>
      <c r="P39" s="14" t="s">
        <v>57</v>
      </c>
      <c r="Q39" s="16" t="s">
        <v>58</v>
      </c>
    </row>
    <row r="40" spans="1:17" ht="14.25" x14ac:dyDescent="0.2">
      <c r="F40" s="3"/>
      <c r="G40" s="3"/>
      <c r="H40" s="3"/>
      <c r="I40" s="3"/>
      <c r="K40" s="11"/>
      <c r="L40" s="3"/>
      <c r="N40" s="15">
        <v>0.26800000000000002</v>
      </c>
      <c r="O40" s="15">
        <v>0.252</v>
      </c>
      <c r="P40" s="15">
        <f>O40-N40</f>
        <v>-1.6000000000000014E-2</v>
      </c>
      <c r="Q40" s="17">
        <f>(P40/N40)*100</f>
        <v>-5.9701492537313481</v>
      </c>
    </row>
    <row r="41" spans="1:17" ht="14.25" x14ac:dyDescent="0.2">
      <c r="F41" s="3"/>
      <c r="G41" s="3"/>
      <c r="H41" s="3"/>
      <c r="I41" s="3"/>
      <c r="K41" s="11"/>
      <c r="L41" s="11"/>
      <c r="N41" s="15">
        <v>0.499</v>
      </c>
      <c r="O41" s="15">
        <v>0.45700000000000002</v>
      </c>
      <c r="P41" s="15">
        <f t="shared" ref="P41:P50" si="2">O41-N41</f>
        <v>-4.1999999999999982E-2</v>
      </c>
      <c r="Q41" s="17">
        <f t="shared" ref="Q41:Q50" si="3">(P41/N41)*100</f>
        <v>-8.4168336673346644</v>
      </c>
    </row>
    <row r="42" spans="1:17" ht="14.25" x14ac:dyDescent="0.2">
      <c r="F42" s="3"/>
      <c r="G42" s="3"/>
      <c r="H42" s="3"/>
      <c r="I42" s="3"/>
      <c r="K42" s="11"/>
      <c r="L42" s="11"/>
      <c r="N42" s="15">
        <v>1.0029999999999999</v>
      </c>
      <c r="O42" s="15">
        <v>0.95499999999999996</v>
      </c>
      <c r="P42" s="15">
        <f t="shared" si="2"/>
        <v>-4.7999999999999932E-2</v>
      </c>
      <c r="Q42" s="17">
        <f t="shared" si="3"/>
        <v>-4.7856430707876303</v>
      </c>
    </row>
    <row r="43" spans="1:17" ht="15.75" customHeight="1" x14ac:dyDescent="0.2">
      <c r="K43" s="11"/>
      <c r="L43" s="11"/>
      <c r="N43" s="15">
        <v>1.502</v>
      </c>
      <c r="O43" s="15">
        <v>1.456</v>
      </c>
      <c r="P43" s="15">
        <f t="shared" si="2"/>
        <v>-4.6000000000000041E-2</v>
      </c>
      <c r="Q43" s="17">
        <f t="shared" si="3"/>
        <v>-3.0625832223701757</v>
      </c>
    </row>
    <row r="44" spans="1:17" ht="15.75" customHeight="1" x14ac:dyDescent="0.2">
      <c r="K44" s="11"/>
      <c r="L44" s="11"/>
      <c r="N44" s="15">
        <v>1.998</v>
      </c>
      <c r="O44" s="15">
        <v>1.9650000000000001</v>
      </c>
      <c r="P44" s="15">
        <f t="shared" si="2"/>
        <v>-3.2999999999999918E-2</v>
      </c>
      <c r="Q44" s="17">
        <f t="shared" si="3"/>
        <v>-1.6516516516516477</v>
      </c>
    </row>
    <row r="45" spans="1:17" ht="15.75" customHeight="1" x14ac:dyDescent="0.2">
      <c r="K45" s="11"/>
      <c r="L45" s="11"/>
      <c r="N45" s="15">
        <v>2.5</v>
      </c>
      <c r="O45" s="15">
        <v>2.4700000000000002</v>
      </c>
      <c r="P45" s="15">
        <f t="shared" si="2"/>
        <v>-2.9999999999999805E-2</v>
      </c>
      <c r="Q45" s="17">
        <f t="shared" si="3"/>
        <v>-1.1999999999999922</v>
      </c>
    </row>
    <row r="46" spans="1:17" ht="15.75" customHeight="1" x14ac:dyDescent="0.2">
      <c r="K46" s="11"/>
      <c r="L46" s="11"/>
      <c r="N46" s="15">
        <v>2.9990000000000001</v>
      </c>
      <c r="O46" s="15">
        <v>2.9830000000000001</v>
      </c>
      <c r="P46" s="15">
        <f t="shared" si="2"/>
        <v>-1.6000000000000014E-2</v>
      </c>
      <c r="Q46" s="17">
        <f t="shared" si="3"/>
        <v>-0.53351117039013052</v>
      </c>
    </row>
    <row r="47" spans="1:17" ht="15.75" customHeight="1" x14ac:dyDescent="0.2">
      <c r="K47" s="11"/>
      <c r="L47" s="11"/>
      <c r="N47" s="15">
        <v>3.4990000000000001</v>
      </c>
      <c r="O47" s="15">
        <v>3.4870000000000001</v>
      </c>
      <c r="P47" s="15">
        <f t="shared" si="2"/>
        <v>-1.2000000000000011E-2</v>
      </c>
      <c r="Q47" s="17">
        <f t="shared" si="3"/>
        <v>-0.34295513003715378</v>
      </c>
    </row>
    <row r="48" spans="1:17" ht="15.75" customHeight="1" x14ac:dyDescent="0.2">
      <c r="K48" s="11"/>
      <c r="L48" s="11"/>
      <c r="N48" s="15">
        <v>4.0039999999999996</v>
      </c>
      <c r="O48" s="15">
        <v>4.0030000000000001</v>
      </c>
      <c r="P48" s="15">
        <f t="shared" si="2"/>
        <v>-9.9999999999944578E-4</v>
      </c>
      <c r="Q48" s="17">
        <f t="shared" si="3"/>
        <v>-2.4975024975011136E-2</v>
      </c>
    </row>
    <row r="49" spans="11:17" ht="15.75" customHeight="1" x14ac:dyDescent="0.2">
      <c r="K49" s="11"/>
      <c r="L49" s="11"/>
      <c r="N49" s="15">
        <v>4.4989999999999997</v>
      </c>
      <c r="O49" s="15">
        <v>4.5110000000000001</v>
      </c>
      <c r="P49" s="15">
        <f t="shared" si="2"/>
        <v>1.2000000000000455E-2</v>
      </c>
      <c r="Q49" s="17">
        <f t="shared" si="3"/>
        <v>0.26672593909758735</v>
      </c>
    </row>
    <row r="50" spans="11:17" ht="15.75" customHeight="1" x14ac:dyDescent="0.2">
      <c r="N50" s="15">
        <v>4.9969999999999999</v>
      </c>
      <c r="O50" s="15">
        <v>5.0430000000000001</v>
      </c>
      <c r="P50" s="15">
        <f t="shared" si="2"/>
        <v>4.6000000000000263E-2</v>
      </c>
      <c r="Q50" s="17">
        <f t="shared" si="3"/>
        <v>0.92055233139884463</v>
      </c>
    </row>
    <row r="51" spans="11:17" ht="15.75" customHeight="1" x14ac:dyDescent="0.2">
      <c r="N51" s="15"/>
      <c r="O51" s="15"/>
      <c r="P51" s="14"/>
      <c r="Q51" s="17"/>
    </row>
    <row r="52" spans="11:17" ht="15.75" customHeight="1" x14ac:dyDescent="0.2">
      <c r="N52" s="13"/>
      <c r="O52" s="13"/>
      <c r="Q52" s="17"/>
    </row>
    <row r="53" spans="11:17" ht="15.75" customHeight="1" x14ac:dyDescent="0.2">
      <c r="N53" s="13"/>
      <c r="O53" s="13"/>
    </row>
    <row r="54" spans="11:17" ht="15.75" customHeight="1" x14ac:dyDescent="0.2">
      <c r="N54" s="12"/>
      <c r="O54" s="12"/>
    </row>
  </sheetData>
  <hyperlinks>
    <hyperlink ref="D2" r:id="rId1"/>
    <hyperlink ref="D3" r:id="rId2"/>
    <hyperlink ref="D4" r:id="rId3"/>
  </hyperlinks>
  <pageMargins left="0.74805555555555558" right="0.74805555555555558" top="1.3776388888888889" bottom="1.3776388888888889" header="0.98388888888888892" footer="0.98388888888888892"/>
  <pageSetup paperSize="9" fitToWidth="0" fitToHeight="0" orientation="portrait" r:id="rId4"/>
  <headerFooter alignWithMargins="0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Voris</dc:creator>
  <cp:lastModifiedBy>Miguel Miguel Soria da Luz</cp:lastModifiedBy>
  <dcterms:created xsi:type="dcterms:W3CDTF">2026-01-21T14:14:16Z</dcterms:created>
  <dcterms:modified xsi:type="dcterms:W3CDTF">2026-02-09T17:11:42Z</dcterms:modified>
</cp:coreProperties>
</file>